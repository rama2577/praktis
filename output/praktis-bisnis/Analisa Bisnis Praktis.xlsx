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umsi" sheetId="1" state="visible" r:id="rId1"/>
    <sheet name="Konservatif" sheetId="2" state="visible" r:id="rId2"/>
    <sheet name="Moderat" sheetId="3" state="visible" r:id="rId3"/>
    <sheet name="Optimis" sheetId="4" state="visible" r:id="rId4"/>
    <sheet name="Unit Economics" sheetId="5" state="visible" r:id="rId5"/>
    <sheet name="Ringkasan" sheetId="6" state="visible" r:id="rId6"/>
    <sheet name="Marketing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p #,##0;(Rp #,##0);&quot;-&quot;"/>
    <numFmt numFmtId="165" formatCode="#,##0;(#,##0);&quot;-&quot;"/>
    <numFmt numFmtId="166" formatCode="0.0%;(0.0%);&quot;-&quot;"/>
    <numFmt numFmtId="167" formatCode="#,##0.00;(#,##0.00);&quot;-&quot;"/>
  </numFmts>
  <fonts count="11">
    <font>
      <name val="Calibri"/>
      <family val="2"/>
      <color theme="1"/>
      <sz val="11"/>
      <scheme val="minor"/>
    </font>
    <font>
      <name val="Noto Sans SC"/>
      <b val="1"/>
      <color rgb="001B2A4A"/>
      <sz val="15"/>
    </font>
    <font>
      <name val="Noto Sans SC"/>
      <i val="1"/>
      <color rgb="008C8A84"/>
      <sz val="8"/>
    </font>
    <font>
      <name val="Noto Sans SC"/>
      <b val="1"/>
      <color rgb="00FFFFFF"/>
      <sz val="11"/>
    </font>
    <font>
      <name val="Noto Sans SC"/>
      <color rgb="0037352F"/>
    </font>
    <font>
      <name val="Noto Sans SC"/>
      <color rgb="000000FF"/>
    </font>
    <font>
      <name val="Noto Sans SC"/>
      <b val="1"/>
      <color rgb="001B2A4A"/>
      <sz val="14"/>
    </font>
    <font>
      <name val="Noto Sans SC"/>
      <b val="1"/>
      <color rgb="001B2A4A"/>
    </font>
    <font>
      <name val="Noto Sans SC"/>
      <b val="1"/>
      <color rgb="001B7D46"/>
    </font>
    <font>
      <name val="Noto Sans SC"/>
      <color rgb="008C8A84"/>
    </font>
    <font>
      <name val="Noto Sans SC"/>
      <b val="1"/>
      <color rgb="001B2A4A"/>
      <sz val="16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C4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4" fillId="4" borderId="0" pivotButton="0" quotePrefix="0" xfId="0"/>
    <xf numFmtId="164" fontId="4" fillId="4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0" fillId="0" borderId="0" pivotButton="0" quotePrefix="0" xfId="0"/>
    <xf numFmtId="0" fontId="4" fillId="4" borderId="0" pivotButton="0" quotePrefix="0" xfId="0"/>
    <xf numFmtId="164" fontId="7" fillId="4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per Bulan (3 Skenario)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Ringkasan!$B$4</f>
            </strRef>
          </tx>
          <spPr>
            <a:ln>
              <a:prstDash val="solid"/>
            </a:ln>
          </spPr>
          <cat>
            <numRef>
              <f>'Konservatif'!$A$4:$A$15</f>
            </numRef>
          </cat>
          <val>
            <numRef>
              <f>'Konservatif'!$G$4:$G$15</f>
            </numRef>
          </val>
        </ser>
        <ser>
          <idx val="1"/>
          <order val="1"/>
          <tx>
            <strRef>
              <f>Ringkasan!$C$4</f>
            </strRef>
          </tx>
          <spPr>
            <a:ln>
              <a:prstDash val="solid"/>
            </a:ln>
          </spPr>
          <cat>
            <numRef>
              <f>'Konservatif'!$A$4:$A$15</f>
            </numRef>
          </cat>
          <val>
            <numRef>
              <f>'Moderat'!$G$4:$G$15</f>
            </numRef>
          </val>
        </ser>
        <ser>
          <idx val="2"/>
          <order val="2"/>
          <tx>
            <strRef>
              <f>Ringkasan!$D$4</f>
            </strRef>
          </tx>
          <spPr>
            <a:ln>
              <a:prstDash val="solid"/>
            </a:ln>
          </spPr>
          <cat>
            <numRef>
              <f>'Konservatif'!$A$4:$A$15</f>
            </numRef>
          </cat>
          <val>
            <numRef>
              <f>'Optimis'!$G$4:$G$15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Cash Flow Kumulatif (3 Skenario)</a:t>
            </a:r>
          </a:p>
        </rich>
      </tx>
    </title>
    <plotArea>
      <lineChart>
        <grouping val="standard"/>
        <ser>
          <idx val="0"/>
          <order val="0"/>
          <tx>
            <strRef>
              <f>Ringkasan!$B$4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'Konservatif'!$A$4:$A$15</f>
            </numRef>
          </cat>
          <val>
            <numRef>
              <f>'Konservatif'!$M$4:$M$15</f>
            </numRef>
          </val>
        </ser>
        <ser>
          <idx val="1"/>
          <order val="1"/>
          <tx>
            <strRef>
              <f>Ringkasan!$C$4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'Konservatif'!$A$4:$A$15</f>
            </numRef>
          </cat>
          <val>
            <numRef>
              <f>'Moderat'!$M$4:$M$15</f>
            </numRef>
          </val>
        </ser>
        <ser>
          <idx val="2"/>
          <order val="2"/>
          <tx>
            <strRef>
              <f>Ringkasan!$D$4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'Konservatif'!$A$4:$A$15</f>
            </numRef>
          </cat>
          <val>
            <numRef>
              <f>'Optimis'!$M$4:$M$15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32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ASUMSI MODEL BISNIS — PRAKTIS (Direct-to-Market)</t>
        </is>
      </c>
    </row>
    <row r="3">
      <c r="B3" s="2" t="inlineStr">
        <is>
          <t>Sumber asumsi: dokumen analisa-bisnis-praktis-direct.md + riset pasar 14 Agu 2026</t>
        </is>
      </c>
    </row>
    <row r="5">
      <c r="B5" s="3" t="inlineStr">
        <is>
          <t>HARGA &amp; PAKET</t>
        </is>
      </c>
    </row>
    <row r="6">
      <c r="B6" s="4" t="inlineStr">
        <is>
          <t>Harga per transaksi (pay-per-use)</t>
        </is>
      </c>
      <c r="C6" s="5" t="n">
        <v>250</v>
      </c>
      <c r="D6" s="2" t="inlineStr">
        <is>
          <t>Rekomendasi: Rp150-500 (di atas rekeningkoran.com Rp400/halaman)</t>
        </is>
      </c>
    </row>
    <row r="7">
      <c r="B7" s="4" t="inlineStr">
        <is>
          <t>Paket Starter — kuota transaksi</t>
        </is>
      </c>
      <c r="C7" s="6" t="n">
        <v>1000</v>
      </c>
    </row>
    <row r="8">
      <c r="B8" s="4" t="inlineStr">
        <is>
          <t>Paket Starter — harga</t>
        </is>
      </c>
      <c r="C8" s="5" t="n">
        <v>500000</v>
      </c>
    </row>
    <row r="9">
      <c r="B9" s="4" t="inlineStr">
        <is>
          <t>Paket Growth — kuota transaksi</t>
        </is>
      </c>
      <c r="C9" s="6" t="n">
        <v>3000</v>
      </c>
    </row>
    <row r="10">
      <c r="B10" s="4" t="inlineStr">
        <is>
          <t>Paket Growth — harga</t>
        </is>
      </c>
      <c r="C10" s="5" t="n">
        <v>1200000</v>
      </c>
    </row>
    <row r="11">
      <c r="B11" s="4" t="inlineStr">
        <is>
          <t>Paket Enterprise — kuota transaksi</t>
        </is>
      </c>
      <c r="C11" s="6" t="n">
        <v>10000</v>
      </c>
    </row>
    <row r="12">
      <c r="B12" s="4" t="inlineStr">
        <is>
          <t>Paket Enterprise — harga</t>
        </is>
      </c>
      <c r="C12" s="5" t="n">
        <v>3500000</v>
      </c>
    </row>
    <row r="13">
      <c r="B13" s="3" t="inlineStr">
        <is>
          <t>BIAYA VARIABEL</t>
        </is>
      </c>
    </row>
    <row r="14">
      <c r="B14" s="4" t="inlineStr">
        <is>
          <t>AI cost per transaksi (model routing)</t>
        </is>
      </c>
      <c r="C14" s="5" t="n">
        <v>70</v>
      </c>
      <c r="D14" s="2" t="inlineStr">
        <is>
          <t>Asumsi GP 75-85% (MEMORY.md)</t>
        </is>
      </c>
    </row>
    <row r="15">
      <c r="B15" s="4" t="inlineStr">
        <is>
          <t>Infra bulan 1-6 (Railway, dll)</t>
        </is>
      </c>
      <c r="C15" s="5" t="n">
        <v>2000000</v>
      </c>
    </row>
    <row r="16">
      <c r="B16" s="4" t="inlineStr">
        <is>
          <t>Infra bulan 7-12 (skala)</t>
        </is>
      </c>
      <c r="C16" s="5" t="n">
        <v>4000000</v>
      </c>
    </row>
    <row r="17">
      <c r="B17" s="3" t="inlineStr">
        <is>
          <t>ARPU &amp; CHURN PER SKENARIO</t>
        </is>
      </c>
    </row>
    <row r="18">
      <c r="B18" s="4" t="inlineStr">
        <is>
          <t>ARPU konservatif</t>
        </is>
      </c>
      <c r="C18" s="5" t="n">
        <v>600000</v>
      </c>
    </row>
    <row r="19">
      <c r="B19" s="4" t="inlineStr">
        <is>
          <t>ARPU moderat</t>
        </is>
      </c>
      <c r="C19" s="5" t="n">
        <v>800000</v>
      </c>
    </row>
    <row r="20">
      <c r="B20" s="4" t="inlineStr">
        <is>
          <t>ARPU optimis</t>
        </is>
      </c>
      <c r="C20" s="5" t="n">
        <v>1000000</v>
      </c>
    </row>
    <row r="21">
      <c r="B21" s="4" t="inlineStr">
        <is>
          <t>Churn konservatif (per bulan)</t>
        </is>
      </c>
      <c r="C21" s="7" t="n">
        <v>0.06</v>
      </c>
    </row>
    <row r="22">
      <c r="B22" s="4" t="inlineStr">
        <is>
          <t>Churn moderat (per bulan)</t>
        </is>
      </c>
      <c r="C22" s="7" t="n">
        <v>0.05</v>
      </c>
    </row>
    <row r="23">
      <c r="B23" s="4" t="inlineStr">
        <is>
          <t>Churn optimis (per bulan)</t>
        </is>
      </c>
      <c r="C23" s="7" t="n">
        <v>0.04</v>
      </c>
    </row>
    <row r="24">
      <c r="B24" s="3" t="inlineStr">
        <is>
          <t>PELANGGAN BARU PER BULAN</t>
        </is>
      </c>
    </row>
    <row r="25">
      <c r="B25" s="4" t="inlineStr">
        <is>
          <t>Konservatif — konstan</t>
        </is>
      </c>
      <c r="C25" s="6" t="n">
        <v>3</v>
      </c>
    </row>
    <row r="26">
      <c r="B26" s="4" t="inlineStr">
        <is>
          <t>Moderat — b1-4 / b5-8 / b9-12</t>
        </is>
      </c>
      <c r="C26" s="6" t="n">
        <v>5</v>
      </c>
      <c r="D26" s="2" t="inlineStr">
        <is>
          <t>Dialokasikan bertahap di sheet skenario</t>
        </is>
      </c>
    </row>
    <row r="27">
      <c r="B27" s="4" t="inlineStr">
        <is>
          <t>Optimis — b1-4 / b5-8 / b9-12</t>
        </is>
      </c>
      <c r="C27" s="6" t="n">
        <v>10</v>
      </c>
    </row>
    <row r="28">
      <c r="B28" s="3" t="inlineStr">
        <is>
          <t>MARKETING (Rp/bulan)</t>
        </is>
      </c>
    </row>
    <row r="29">
      <c r="B29" s="4" t="inlineStr">
        <is>
          <t>Marketing fase 1 (b1-3) — konservatif</t>
        </is>
      </c>
      <c r="C29" s="5" t="n">
        <v>2000000</v>
      </c>
    </row>
    <row r="30">
      <c r="B30" s="4" t="inlineStr">
        <is>
          <t>Marketing fase 1 (b1-3) — moderat</t>
        </is>
      </c>
      <c r="C30" s="5" t="n">
        <v>2000000</v>
      </c>
    </row>
    <row r="31">
      <c r="B31" s="4" t="inlineStr">
        <is>
          <t>Marketing fase 1 (b1-3) — optimis</t>
        </is>
      </c>
      <c r="C31" s="5" t="n">
        <v>3000000</v>
      </c>
    </row>
    <row r="32">
      <c r="B32" s="4" t="inlineStr">
        <is>
          <t>Marketing fase 2 (b4-6) — konservatif</t>
        </is>
      </c>
      <c r="C32" s="5" t="n">
        <v>5000000</v>
      </c>
    </row>
    <row r="33">
      <c r="B33" s="4" t="inlineStr">
        <is>
          <t>Marketing fase 2 (b4-6) — moderat</t>
        </is>
      </c>
      <c r="C33" s="5" t="n">
        <v>10000000</v>
      </c>
    </row>
    <row r="34">
      <c r="B34" s="4" t="inlineStr">
        <is>
          <t>Marketing fase 2 (b4-6) — optimis</t>
        </is>
      </c>
      <c r="C34" s="5" t="n">
        <v>15000000</v>
      </c>
    </row>
    <row r="35">
      <c r="B35" s="4" t="inlineStr">
        <is>
          <t>Marketing fase 3 (b7-12) — konservatif</t>
        </is>
      </c>
      <c r="C35" s="5" t="n">
        <v>8000000</v>
      </c>
    </row>
    <row r="36">
      <c r="B36" s="4" t="inlineStr">
        <is>
          <t>Marketing fase 3 (b7-12) — moderat</t>
        </is>
      </c>
      <c r="C36" s="5" t="n">
        <v>16000000</v>
      </c>
    </row>
    <row r="37">
      <c r="B37" s="4" t="inlineStr">
        <is>
          <t>Marketing fase 3 (b7-12) — optimis</t>
        </is>
      </c>
      <c r="C37" s="5" t="n">
        <v>25000000</v>
      </c>
    </row>
    <row r="38">
      <c r="B38" s="3" t="inlineStr">
        <is>
          <t>INVESTASI AWAL (one-off)</t>
        </is>
      </c>
    </row>
    <row r="39">
      <c r="B39" s="4" t="inlineStr">
        <is>
          <t>Fitur direct-market (dev 6-9 minggu)</t>
        </is>
      </c>
      <c r="C39" s="5" t="n">
        <v>25000000</v>
      </c>
      <c r="D39" s="2" t="inlineStr">
        <is>
          <t>Payment, self-serve, export CSV, landing page</t>
        </is>
      </c>
    </row>
    <row r="40">
      <c r="B40" s="4" t="inlineStr">
        <is>
          <t>Domain, branding, tooling</t>
        </is>
      </c>
      <c r="C40" s="5" t="n">
        <v>5000000</v>
      </c>
    </row>
    <row r="41">
      <c r="B41" s="4" t="inlineStr">
        <is>
          <t>Dana cadangan (buffer)</t>
        </is>
      </c>
      <c r="C41" s="5" t="n">
        <v>10000000</v>
      </c>
    </row>
  </sheetData>
  <mergeCells count="6">
    <mergeCell ref="B17:E17"/>
    <mergeCell ref="B13:E13"/>
    <mergeCell ref="B38:E38"/>
    <mergeCell ref="B24:E24"/>
    <mergeCell ref="B5:E5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8" t="inlineStr">
        <is>
          <t>PROYEKSI 12 BULAN — KONSERVATIF</t>
        </is>
      </c>
    </row>
    <row r="3">
      <c r="A3" s="9" t="inlineStr">
        <is>
          <t>Bulan</t>
        </is>
      </c>
      <c r="B3" s="9" t="inlineStr">
        <is>
          <t>Pelanggan Awal</t>
        </is>
      </c>
      <c r="C3" s="9" t="inlineStr">
        <is>
          <t>Pelanggan Baru</t>
        </is>
      </c>
      <c r="D3" s="9" t="inlineStr">
        <is>
          <t>Churn</t>
        </is>
      </c>
      <c r="E3" s="9" t="inlineStr">
        <is>
          <t>Pelanggan Akhir</t>
        </is>
      </c>
      <c r="F3" s="9" t="inlineStr">
        <is>
          <t>MRR</t>
        </is>
      </c>
      <c r="G3" s="9" t="inlineStr">
        <is>
          <t>Revenue</t>
        </is>
      </c>
      <c r="H3" s="9" t="inlineStr">
        <is>
          <t>AI Cost</t>
        </is>
      </c>
      <c r="I3" s="9" t="inlineStr">
        <is>
          <t>Infra</t>
        </is>
      </c>
      <c r="J3" s="9" t="inlineStr">
        <is>
          <t>Marketing</t>
        </is>
      </c>
      <c r="K3" s="9" t="inlineStr">
        <is>
          <t>Total Opex</t>
        </is>
      </c>
      <c r="L3" s="9" t="inlineStr">
        <is>
          <t>Net Cash Flow</t>
        </is>
      </c>
      <c r="M3" s="9" t="inlineStr">
        <is>
          <t>Kumulatif</t>
        </is>
      </c>
      <c r="N3" s="9" t="inlineStr">
        <is>
          <t>CAC Bulanan</t>
        </is>
      </c>
    </row>
    <row r="4">
      <c r="A4" s="10" t="n">
        <v>1</v>
      </c>
      <c r="B4" s="10" t="n">
        <v>0</v>
      </c>
      <c r="C4" s="10" t="n">
        <v>3</v>
      </c>
      <c r="D4" s="10">
        <f>IF(B4=0,0,ROUND(B4*Asumsi!$C$21,0))</f>
        <v/>
      </c>
      <c r="E4" s="10">
        <f>B4+C4-D4</f>
        <v/>
      </c>
      <c r="F4" s="11">
        <f>E4*Asumsi!$C$18</f>
        <v/>
      </c>
      <c r="G4" s="11">
        <f>F4</f>
        <v/>
      </c>
      <c r="H4" s="11">
        <f>ROUND(G4*0.14,0)</f>
        <v/>
      </c>
      <c r="I4" s="11" t="n">
        <v>2000000</v>
      </c>
      <c r="J4" s="11" t="n">
        <v>2000000</v>
      </c>
      <c r="K4" s="11">
        <f>H4+I4+J4</f>
        <v/>
      </c>
      <c r="L4" s="11">
        <f>G4-K4</f>
        <v/>
      </c>
      <c r="M4" s="11">
        <f>-SUM(Asumsi!$C$39:$C$41)+L4</f>
        <v/>
      </c>
      <c r="N4" s="11">
        <f>IF(C4=0,"-",J4/C4)</f>
        <v/>
      </c>
    </row>
    <row r="5">
      <c r="A5" s="12" t="n">
        <v>2</v>
      </c>
      <c r="B5" s="12">
        <f>L4</f>
        <v/>
      </c>
      <c r="C5" s="12" t="n">
        <v>3</v>
      </c>
      <c r="D5" s="12">
        <f>IF(B5=0,0,ROUND(B5*Asumsi!$C$21,0))</f>
        <v/>
      </c>
      <c r="E5" s="12">
        <f>B5+C5-D5</f>
        <v/>
      </c>
      <c r="F5" s="13">
        <f>E5*Asumsi!$C$18</f>
        <v/>
      </c>
      <c r="G5" s="13">
        <f>F5</f>
        <v/>
      </c>
      <c r="H5" s="13">
        <f>ROUND(G5*0.14,0)</f>
        <v/>
      </c>
      <c r="I5" s="13" t="n">
        <v>2000000</v>
      </c>
      <c r="J5" s="13" t="n">
        <v>2000000</v>
      </c>
      <c r="K5" s="13">
        <f>H5+I5+J5</f>
        <v/>
      </c>
      <c r="L5" s="13">
        <f>G5-K5</f>
        <v/>
      </c>
      <c r="M5" s="13">
        <f>M4+L5</f>
        <v/>
      </c>
      <c r="N5" s="13">
        <f>IF(C5=0,"-",J5/C5)</f>
        <v/>
      </c>
    </row>
    <row r="6">
      <c r="A6" s="10" t="n">
        <v>3</v>
      </c>
      <c r="B6" s="10">
        <f>L5</f>
        <v/>
      </c>
      <c r="C6" s="10" t="n">
        <v>3</v>
      </c>
      <c r="D6" s="10">
        <f>IF(B6=0,0,ROUND(B6*Asumsi!$C$21,0))</f>
        <v/>
      </c>
      <c r="E6" s="10">
        <f>B6+C6-D6</f>
        <v/>
      </c>
      <c r="F6" s="11">
        <f>E6*Asumsi!$C$18</f>
        <v/>
      </c>
      <c r="G6" s="11">
        <f>F6</f>
        <v/>
      </c>
      <c r="H6" s="11">
        <f>ROUND(G6*0.14,0)</f>
        <v/>
      </c>
      <c r="I6" s="11" t="n">
        <v>2000000</v>
      </c>
      <c r="J6" s="11" t="n">
        <v>2000000</v>
      </c>
      <c r="K6" s="11">
        <f>H6+I6+J6</f>
        <v/>
      </c>
      <c r="L6" s="11">
        <f>G6-K6</f>
        <v/>
      </c>
      <c r="M6" s="11">
        <f>M5+L6</f>
        <v/>
      </c>
      <c r="N6" s="11">
        <f>IF(C6=0,"-",J6/C6)</f>
        <v/>
      </c>
    </row>
    <row r="7">
      <c r="A7" s="12" t="n">
        <v>4</v>
      </c>
      <c r="B7" s="12">
        <f>L6</f>
        <v/>
      </c>
      <c r="C7" s="12" t="n">
        <v>3</v>
      </c>
      <c r="D7" s="12">
        <f>IF(B7=0,0,ROUND(B7*Asumsi!$C$21,0))</f>
        <v/>
      </c>
      <c r="E7" s="12">
        <f>B7+C7-D7</f>
        <v/>
      </c>
      <c r="F7" s="13">
        <f>E7*Asumsi!$C$18</f>
        <v/>
      </c>
      <c r="G7" s="13">
        <f>F7</f>
        <v/>
      </c>
      <c r="H7" s="13">
        <f>ROUND(G7*0.14,0)</f>
        <v/>
      </c>
      <c r="I7" s="13" t="n">
        <v>2000000</v>
      </c>
      <c r="J7" s="13" t="n">
        <v>5000000</v>
      </c>
      <c r="K7" s="13">
        <f>H7+I7+J7</f>
        <v/>
      </c>
      <c r="L7" s="13">
        <f>G7-K7</f>
        <v/>
      </c>
      <c r="M7" s="13">
        <f>M6+L7</f>
        <v/>
      </c>
      <c r="N7" s="13">
        <f>IF(C7=0,"-",J7/C7)</f>
        <v/>
      </c>
    </row>
    <row r="8">
      <c r="A8" s="10" t="n">
        <v>5</v>
      </c>
      <c r="B8" s="10">
        <f>L7</f>
        <v/>
      </c>
      <c r="C8" s="10" t="n">
        <v>3</v>
      </c>
      <c r="D8" s="10">
        <f>IF(B8=0,0,ROUND(B8*Asumsi!$C$21,0))</f>
        <v/>
      </c>
      <c r="E8" s="10">
        <f>B8+C8-D8</f>
        <v/>
      </c>
      <c r="F8" s="11">
        <f>E8*Asumsi!$C$18</f>
        <v/>
      </c>
      <c r="G8" s="11">
        <f>F8</f>
        <v/>
      </c>
      <c r="H8" s="11">
        <f>ROUND(G8*0.14,0)</f>
        <v/>
      </c>
      <c r="I8" s="11" t="n">
        <v>2000000</v>
      </c>
      <c r="J8" s="11" t="n">
        <v>5000000</v>
      </c>
      <c r="K8" s="11">
        <f>H8+I8+J8</f>
        <v/>
      </c>
      <c r="L8" s="11">
        <f>G8-K8</f>
        <v/>
      </c>
      <c r="M8" s="11">
        <f>M7+L8</f>
        <v/>
      </c>
      <c r="N8" s="11">
        <f>IF(C8=0,"-",J8/C8)</f>
        <v/>
      </c>
    </row>
    <row r="9">
      <c r="A9" s="12" t="n">
        <v>6</v>
      </c>
      <c r="B9" s="12">
        <f>L8</f>
        <v/>
      </c>
      <c r="C9" s="12" t="n">
        <v>3</v>
      </c>
      <c r="D9" s="12">
        <f>IF(B9=0,0,ROUND(B9*Asumsi!$C$21,0))</f>
        <v/>
      </c>
      <c r="E9" s="12">
        <f>B9+C9-D9</f>
        <v/>
      </c>
      <c r="F9" s="13">
        <f>E9*Asumsi!$C$18</f>
        <v/>
      </c>
      <c r="G9" s="13">
        <f>F9</f>
        <v/>
      </c>
      <c r="H9" s="13">
        <f>ROUND(G9*0.14,0)</f>
        <v/>
      </c>
      <c r="I9" s="13" t="n">
        <v>2000000</v>
      </c>
      <c r="J9" s="13" t="n">
        <v>5000000</v>
      </c>
      <c r="K9" s="13">
        <f>H9+I9+J9</f>
        <v/>
      </c>
      <c r="L9" s="13">
        <f>G9-K9</f>
        <v/>
      </c>
      <c r="M9" s="13">
        <f>M8+L9</f>
        <v/>
      </c>
      <c r="N9" s="13">
        <f>IF(C9=0,"-",J9/C9)</f>
        <v/>
      </c>
    </row>
    <row r="10">
      <c r="A10" s="10" t="n">
        <v>7</v>
      </c>
      <c r="B10" s="10">
        <f>L9</f>
        <v/>
      </c>
      <c r="C10" s="10" t="n">
        <v>3</v>
      </c>
      <c r="D10" s="10">
        <f>IF(B10=0,0,ROUND(B10*Asumsi!$C$21,0))</f>
        <v/>
      </c>
      <c r="E10" s="10">
        <f>B10+C10-D10</f>
        <v/>
      </c>
      <c r="F10" s="11">
        <f>E10*Asumsi!$C$18</f>
        <v/>
      </c>
      <c r="G10" s="11">
        <f>F10</f>
        <v/>
      </c>
      <c r="H10" s="11">
        <f>ROUND(G10*0.14,0)</f>
        <v/>
      </c>
      <c r="I10" s="11" t="n">
        <v>4000000</v>
      </c>
      <c r="J10" s="11" t="n">
        <v>8000000</v>
      </c>
      <c r="K10" s="11">
        <f>H10+I10+J10</f>
        <v/>
      </c>
      <c r="L10" s="11">
        <f>G10-K10</f>
        <v/>
      </c>
      <c r="M10" s="11">
        <f>M9+L10</f>
        <v/>
      </c>
      <c r="N10" s="11">
        <f>IF(C10=0,"-",J10/C10)</f>
        <v/>
      </c>
    </row>
    <row r="11">
      <c r="A11" s="12" t="n">
        <v>8</v>
      </c>
      <c r="B11" s="12">
        <f>L10</f>
        <v/>
      </c>
      <c r="C11" s="12" t="n">
        <v>3</v>
      </c>
      <c r="D11" s="12">
        <f>IF(B11=0,0,ROUND(B11*Asumsi!$C$21,0))</f>
        <v/>
      </c>
      <c r="E11" s="12">
        <f>B11+C11-D11</f>
        <v/>
      </c>
      <c r="F11" s="13">
        <f>E11*Asumsi!$C$18</f>
        <v/>
      </c>
      <c r="G11" s="13">
        <f>F11</f>
        <v/>
      </c>
      <c r="H11" s="13">
        <f>ROUND(G11*0.14,0)</f>
        <v/>
      </c>
      <c r="I11" s="13" t="n">
        <v>4000000</v>
      </c>
      <c r="J11" s="13" t="n">
        <v>8000000</v>
      </c>
      <c r="K11" s="13">
        <f>H11+I11+J11</f>
        <v/>
      </c>
      <c r="L11" s="13">
        <f>G11-K11</f>
        <v/>
      </c>
      <c r="M11" s="13">
        <f>M10+L11</f>
        <v/>
      </c>
      <c r="N11" s="13">
        <f>IF(C11=0,"-",J11/C11)</f>
        <v/>
      </c>
    </row>
    <row r="12">
      <c r="A12" s="10" t="n">
        <v>9</v>
      </c>
      <c r="B12" s="10">
        <f>L11</f>
        <v/>
      </c>
      <c r="C12" s="10" t="n">
        <v>3</v>
      </c>
      <c r="D12" s="10">
        <f>IF(B12=0,0,ROUND(B12*Asumsi!$C$21,0))</f>
        <v/>
      </c>
      <c r="E12" s="10">
        <f>B12+C12-D12</f>
        <v/>
      </c>
      <c r="F12" s="11">
        <f>E12*Asumsi!$C$18</f>
        <v/>
      </c>
      <c r="G12" s="11">
        <f>F12</f>
        <v/>
      </c>
      <c r="H12" s="11">
        <f>ROUND(G12*0.14,0)</f>
        <v/>
      </c>
      <c r="I12" s="11" t="n">
        <v>4000000</v>
      </c>
      <c r="J12" s="11" t="n">
        <v>8000000</v>
      </c>
      <c r="K12" s="11">
        <f>H12+I12+J12</f>
        <v/>
      </c>
      <c r="L12" s="11">
        <f>G12-K12</f>
        <v/>
      </c>
      <c r="M12" s="11">
        <f>M11+L12</f>
        <v/>
      </c>
      <c r="N12" s="11">
        <f>IF(C12=0,"-",J12/C12)</f>
        <v/>
      </c>
    </row>
    <row r="13">
      <c r="A13" s="12" t="n">
        <v>10</v>
      </c>
      <c r="B13" s="12">
        <f>L12</f>
        <v/>
      </c>
      <c r="C13" s="12" t="n">
        <v>3</v>
      </c>
      <c r="D13" s="12">
        <f>IF(B13=0,0,ROUND(B13*Asumsi!$C$21,0))</f>
        <v/>
      </c>
      <c r="E13" s="12">
        <f>B13+C13-D13</f>
        <v/>
      </c>
      <c r="F13" s="13">
        <f>E13*Asumsi!$C$18</f>
        <v/>
      </c>
      <c r="G13" s="13">
        <f>F13</f>
        <v/>
      </c>
      <c r="H13" s="13">
        <f>ROUND(G13*0.14,0)</f>
        <v/>
      </c>
      <c r="I13" s="13" t="n">
        <v>4000000</v>
      </c>
      <c r="J13" s="13" t="n">
        <v>8000000</v>
      </c>
      <c r="K13" s="13">
        <f>H13+I13+J13</f>
        <v/>
      </c>
      <c r="L13" s="13">
        <f>G13-K13</f>
        <v/>
      </c>
      <c r="M13" s="13">
        <f>M12+L13</f>
        <v/>
      </c>
      <c r="N13" s="13">
        <f>IF(C13=0,"-",J13/C13)</f>
        <v/>
      </c>
    </row>
    <row r="14">
      <c r="A14" s="10" t="n">
        <v>11</v>
      </c>
      <c r="B14" s="10">
        <f>L13</f>
        <v/>
      </c>
      <c r="C14" s="10" t="n">
        <v>3</v>
      </c>
      <c r="D14" s="10">
        <f>IF(B14=0,0,ROUND(B14*Asumsi!$C$21,0))</f>
        <v/>
      </c>
      <c r="E14" s="10">
        <f>B14+C14-D14</f>
        <v/>
      </c>
      <c r="F14" s="11">
        <f>E14*Asumsi!$C$18</f>
        <v/>
      </c>
      <c r="G14" s="11">
        <f>F14</f>
        <v/>
      </c>
      <c r="H14" s="11">
        <f>ROUND(G14*0.14,0)</f>
        <v/>
      </c>
      <c r="I14" s="11" t="n">
        <v>4000000</v>
      </c>
      <c r="J14" s="11" t="n">
        <v>8000000</v>
      </c>
      <c r="K14" s="11">
        <f>H14+I14+J14</f>
        <v/>
      </c>
      <c r="L14" s="11">
        <f>G14-K14</f>
        <v/>
      </c>
      <c r="M14" s="11">
        <f>M13+L14</f>
        <v/>
      </c>
      <c r="N14" s="11">
        <f>IF(C14=0,"-",J14/C14)</f>
        <v/>
      </c>
    </row>
    <row r="15">
      <c r="A15" s="12" t="n">
        <v>12</v>
      </c>
      <c r="B15" s="12">
        <f>L14</f>
        <v/>
      </c>
      <c r="C15" s="12" t="n">
        <v>3</v>
      </c>
      <c r="D15" s="12">
        <f>IF(B15=0,0,ROUND(B15*Asumsi!$C$21,0))</f>
        <v/>
      </c>
      <c r="E15" s="12">
        <f>B15+C15-D15</f>
        <v/>
      </c>
      <c r="F15" s="13">
        <f>E15*Asumsi!$C$18</f>
        <v/>
      </c>
      <c r="G15" s="13">
        <f>F15</f>
        <v/>
      </c>
      <c r="H15" s="13">
        <f>ROUND(G15*0.14,0)</f>
        <v/>
      </c>
      <c r="I15" s="13" t="n">
        <v>4000000</v>
      </c>
      <c r="J15" s="13" t="n">
        <v>8000000</v>
      </c>
      <c r="K15" s="13">
        <f>H15+I15+J15</f>
        <v/>
      </c>
      <c r="L15" s="13">
        <f>G15-K15</f>
        <v/>
      </c>
      <c r="M15" s="13">
        <f>M14+L15</f>
        <v/>
      </c>
      <c r="N15" s="13">
        <f>IF(C15=0,"-",J15/C15)</f>
        <v/>
      </c>
    </row>
    <row r="17">
      <c r="A17" s="14" t="inlineStr">
        <is>
          <t>Break-even (kumulatif &gt;= 0)</t>
        </is>
      </c>
      <c r="B17" s="15">
        <f>IFERROR(MATCH(TRUE,INDEX(M4:M15&gt;=0,0),0),"-")</f>
        <v/>
      </c>
    </row>
    <row r="18">
      <c r="A18" s="16" t="inlineStr">
        <is>
          <t>Total pelanggan akhir (bulan 12)</t>
        </is>
      </c>
      <c r="B18" s="17">
        <f>E15</f>
        <v/>
      </c>
    </row>
    <row r="19">
      <c r="A19" s="16" t="inlineStr">
        <is>
          <t>Revenue kumulatif 12 bulan</t>
        </is>
      </c>
      <c r="B19" s="18">
        <f>SUM(G4:G15)</f>
        <v/>
      </c>
    </row>
    <row r="20">
      <c r="A20" s="16" t="inlineStr">
        <is>
          <t>Investasi awal (bulan 0)</t>
        </is>
      </c>
      <c r="B20" s="18">
        <f>SUM(Asumsi!C39:C41)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8" t="inlineStr">
        <is>
          <t>PROYEKSI 12 BULAN — MODERAT</t>
        </is>
      </c>
    </row>
    <row r="3">
      <c r="A3" s="9" t="inlineStr">
        <is>
          <t>Bulan</t>
        </is>
      </c>
      <c r="B3" s="9" t="inlineStr">
        <is>
          <t>Pelanggan Awal</t>
        </is>
      </c>
      <c r="C3" s="9" t="inlineStr">
        <is>
          <t>Pelanggan Baru</t>
        </is>
      </c>
      <c r="D3" s="9" t="inlineStr">
        <is>
          <t>Churn</t>
        </is>
      </c>
      <c r="E3" s="9" t="inlineStr">
        <is>
          <t>Pelanggan Akhir</t>
        </is>
      </c>
      <c r="F3" s="9" t="inlineStr">
        <is>
          <t>MRR</t>
        </is>
      </c>
      <c r="G3" s="9" t="inlineStr">
        <is>
          <t>Revenue</t>
        </is>
      </c>
      <c r="H3" s="9" t="inlineStr">
        <is>
          <t>AI Cost</t>
        </is>
      </c>
      <c r="I3" s="9" t="inlineStr">
        <is>
          <t>Infra</t>
        </is>
      </c>
      <c r="J3" s="9" t="inlineStr">
        <is>
          <t>Marketing</t>
        </is>
      </c>
      <c r="K3" s="9" t="inlineStr">
        <is>
          <t>Total Opex</t>
        </is>
      </c>
      <c r="L3" s="9" t="inlineStr">
        <is>
          <t>Net Cash Flow</t>
        </is>
      </c>
      <c r="M3" s="9" t="inlineStr">
        <is>
          <t>Kumulatif</t>
        </is>
      </c>
      <c r="N3" s="9" t="inlineStr">
        <is>
          <t>CAC Bulanan</t>
        </is>
      </c>
    </row>
    <row r="4">
      <c r="A4" s="10" t="n">
        <v>1</v>
      </c>
      <c r="B4" s="10" t="n">
        <v>0</v>
      </c>
      <c r="C4" s="10" t="n">
        <v>5</v>
      </c>
      <c r="D4" s="10">
        <f>IF(B4=0,0,ROUND(B4*Asumsi!$C$22,0))</f>
        <v/>
      </c>
      <c r="E4" s="10">
        <f>B4+C4-D4</f>
        <v/>
      </c>
      <c r="F4" s="11">
        <f>E4*Asumsi!$C$19</f>
        <v/>
      </c>
      <c r="G4" s="11">
        <f>F4</f>
        <v/>
      </c>
      <c r="H4" s="11">
        <f>ROUND(G4*0.14,0)</f>
        <v/>
      </c>
      <c r="I4" s="11" t="n">
        <v>2000000</v>
      </c>
      <c r="J4" s="11" t="n">
        <v>2000000</v>
      </c>
      <c r="K4" s="11">
        <f>H4+I4+J4</f>
        <v/>
      </c>
      <c r="L4" s="11">
        <f>G4-K4</f>
        <v/>
      </c>
      <c r="M4" s="11">
        <f>-SUM(Asumsi!$C$39:$C$41)+L4</f>
        <v/>
      </c>
      <c r="N4" s="11">
        <f>IF(C4=0,"-",J4/C4)</f>
        <v/>
      </c>
    </row>
    <row r="5">
      <c r="A5" s="12" t="n">
        <v>2</v>
      </c>
      <c r="B5" s="12">
        <f>L4</f>
        <v/>
      </c>
      <c r="C5" s="12" t="n">
        <v>5</v>
      </c>
      <c r="D5" s="12">
        <f>IF(B5=0,0,ROUND(B5*Asumsi!$C$22,0))</f>
        <v/>
      </c>
      <c r="E5" s="12">
        <f>B5+C5-D5</f>
        <v/>
      </c>
      <c r="F5" s="13">
        <f>E5*Asumsi!$C$19</f>
        <v/>
      </c>
      <c r="G5" s="13">
        <f>F5</f>
        <v/>
      </c>
      <c r="H5" s="13">
        <f>ROUND(G5*0.14,0)</f>
        <v/>
      </c>
      <c r="I5" s="13" t="n">
        <v>2000000</v>
      </c>
      <c r="J5" s="13" t="n">
        <v>2000000</v>
      </c>
      <c r="K5" s="13">
        <f>H5+I5+J5</f>
        <v/>
      </c>
      <c r="L5" s="13">
        <f>G5-K5</f>
        <v/>
      </c>
      <c r="M5" s="13">
        <f>M4+L5</f>
        <v/>
      </c>
      <c r="N5" s="13">
        <f>IF(C5=0,"-",J5/C5)</f>
        <v/>
      </c>
    </row>
    <row r="6">
      <c r="A6" s="10" t="n">
        <v>3</v>
      </c>
      <c r="B6" s="10">
        <f>L5</f>
        <v/>
      </c>
      <c r="C6" s="10" t="n">
        <v>5</v>
      </c>
      <c r="D6" s="10">
        <f>IF(B6=0,0,ROUND(B6*Asumsi!$C$22,0))</f>
        <v/>
      </c>
      <c r="E6" s="10">
        <f>B6+C6-D6</f>
        <v/>
      </c>
      <c r="F6" s="11">
        <f>E6*Asumsi!$C$19</f>
        <v/>
      </c>
      <c r="G6" s="11">
        <f>F6</f>
        <v/>
      </c>
      <c r="H6" s="11">
        <f>ROUND(G6*0.14,0)</f>
        <v/>
      </c>
      <c r="I6" s="11" t="n">
        <v>2000000</v>
      </c>
      <c r="J6" s="11" t="n">
        <v>2000000</v>
      </c>
      <c r="K6" s="11">
        <f>H6+I6+J6</f>
        <v/>
      </c>
      <c r="L6" s="11">
        <f>G6-K6</f>
        <v/>
      </c>
      <c r="M6" s="11">
        <f>M5+L6</f>
        <v/>
      </c>
      <c r="N6" s="11">
        <f>IF(C6=0,"-",J6/C6)</f>
        <v/>
      </c>
    </row>
    <row r="7">
      <c r="A7" s="12" t="n">
        <v>4</v>
      </c>
      <c r="B7" s="12">
        <f>L6</f>
        <v/>
      </c>
      <c r="C7" s="12" t="n">
        <v>5</v>
      </c>
      <c r="D7" s="12">
        <f>IF(B7=0,0,ROUND(B7*Asumsi!$C$22,0))</f>
        <v/>
      </c>
      <c r="E7" s="12">
        <f>B7+C7-D7</f>
        <v/>
      </c>
      <c r="F7" s="13">
        <f>E7*Asumsi!$C$19</f>
        <v/>
      </c>
      <c r="G7" s="13">
        <f>F7</f>
        <v/>
      </c>
      <c r="H7" s="13">
        <f>ROUND(G7*0.14,0)</f>
        <v/>
      </c>
      <c r="I7" s="13" t="n">
        <v>2000000</v>
      </c>
      <c r="J7" s="13" t="n">
        <v>10000000</v>
      </c>
      <c r="K7" s="13">
        <f>H7+I7+J7</f>
        <v/>
      </c>
      <c r="L7" s="13">
        <f>G7-K7</f>
        <v/>
      </c>
      <c r="M7" s="13">
        <f>M6+L7</f>
        <v/>
      </c>
      <c r="N7" s="13">
        <f>IF(C7=0,"-",J7/C7)</f>
        <v/>
      </c>
    </row>
    <row r="8">
      <c r="A8" s="10" t="n">
        <v>5</v>
      </c>
      <c r="B8" s="10">
        <f>L7</f>
        <v/>
      </c>
      <c r="C8" s="10" t="n">
        <v>8</v>
      </c>
      <c r="D8" s="10">
        <f>IF(B8=0,0,ROUND(B8*Asumsi!$C$22,0))</f>
        <v/>
      </c>
      <c r="E8" s="10">
        <f>B8+C8-D8</f>
        <v/>
      </c>
      <c r="F8" s="11">
        <f>E8*Asumsi!$C$19</f>
        <v/>
      </c>
      <c r="G8" s="11">
        <f>F8</f>
        <v/>
      </c>
      <c r="H8" s="11">
        <f>ROUND(G8*0.14,0)</f>
        <v/>
      </c>
      <c r="I8" s="11" t="n">
        <v>2000000</v>
      </c>
      <c r="J8" s="11" t="n">
        <v>10000000</v>
      </c>
      <c r="K8" s="11">
        <f>H8+I8+J8</f>
        <v/>
      </c>
      <c r="L8" s="11">
        <f>G8-K8</f>
        <v/>
      </c>
      <c r="M8" s="11">
        <f>M7+L8</f>
        <v/>
      </c>
      <c r="N8" s="11">
        <f>IF(C8=0,"-",J8/C8)</f>
        <v/>
      </c>
    </row>
    <row r="9">
      <c r="A9" s="12" t="n">
        <v>6</v>
      </c>
      <c r="B9" s="12">
        <f>L8</f>
        <v/>
      </c>
      <c r="C9" s="12" t="n">
        <v>8</v>
      </c>
      <c r="D9" s="12">
        <f>IF(B9=0,0,ROUND(B9*Asumsi!$C$22,0))</f>
        <v/>
      </c>
      <c r="E9" s="12">
        <f>B9+C9-D9</f>
        <v/>
      </c>
      <c r="F9" s="13">
        <f>E9*Asumsi!$C$19</f>
        <v/>
      </c>
      <c r="G9" s="13">
        <f>F9</f>
        <v/>
      </c>
      <c r="H9" s="13">
        <f>ROUND(G9*0.14,0)</f>
        <v/>
      </c>
      <c r="I9" s="13" t="n">
        <v>2000000</v>
      </c>
      <c r="J9" s="13" t="n">
        <v>10000000</v>
      </c>
      <c r="K9" s="13">
        <f>H9+I9+J9</f>
        <v/>
      </c>
      <c r="L9" s="13">
        <f>G9-K9</f>
        <v/>
      </c>
      <c r="M9" s="13">
        <f>M8+L9</f>
        <v/>
      </c>
      <c r="N9" s="13">
        <f>IF(C9=0,"-",J9/C9)</f>
        <v/>
      </c>
    </row>
    <row r="10">
      <c r="A10" s="10" t="n">
        <v>7</v>
      </c>
      <c r="B10" s="10">
        <f>L9</f>
        <v/>
      </c>
      <c r="C10" s="10" t="n">
        <v>8</v>
      </c>
      <c r="D10" s="10">
        <f>IF(B10=0,0,ROUND(B10*Asumsi!$C$22,0))</f>
        <v/>
      </c>
      <c r="E10" s="10">
        <f>B10+C10-D10</f>
        <v/>
      </c>
      <c r="F10" s="11">
        <f>E10*Asumsi!$C$19</f>
        <v/>
      </c>
      <c r="G10" s="11">
        <f>F10</f>
        <v/>
      </c>
      <c r="H10" s="11">
        <f>ROUND(G10*0.14,0)</f>
        <v/>
      </c>
      <c r="I10" s="11" t="n">
        <v>4000000</v>
      </c>
      <c r="J10" s="11" t="n">
        <v>16000000</v>
      </c>
      <c r="K10" s="11">
        <f>H10+I10+J10</f>
        <v/>
      </c>
      <c r="L10" s="11">
        <f>G10-K10</f>
        <v/>
      </c>
      <c r="M10" s="11">
        <f>M9+L10</f>
        <v/>
      </c>
      <c r="N10" s="11">
        <f>IF(C10=0,"-",J10/C10)</f>
        <v/>
      </c>
    </row>
    <row r="11">
      <c r="A11" s="12" t="n">
        <v>8</v>
      </c>
      <c r="B11" s="12">
        <f>L10</f>
        <v/>
      </c>
      <c r="C11" s="12" t="n">
        <v>8</v>
      </c>
      <c r="D11" s="12">
        <f>IF(B11=0,0,ROUND(B11*Asumsi!$C$22,0))</f>
        <v/>
      </c>
      <c r="E11" s="12">
        <f>B11+C11-D11</f>
        <v/>
      </c>
      <c r="F11" s="13">
        <f>E11*Asumsi!$C$19</f>
        <v/>
      </c>
      <c r="G11" s="13">
        <f>F11</f>
        <v/>
      </c>
      <c r="H11" s="13">
        <f>ROUND(G11*0.14,0)</f>
        <v/>
      </c>
      <c r="I11" s="13" t="n">
        <v>4000000</v>
      </c>
      <c r="J11" s="13" t="n">
        <v>16000000</v>
      </c>
      <c r="K11" s="13">
        <f>H11+I11+J11</f>
        <v/>
      </c>
      <c r="L11" s="13">
        <f>G11-K11</f>
        <v/>
      </c>
      <c r="M11" s="13">
        <f>M10+L11</f>
        <v/>
      </c>
      <c r="N11" s="13">
        <f>IF(C11=0,"-",J11/C11)</f>
        <v/>
      </c>
    </row>
    <row r="12">
      <c r="A12" s="10" t="n">
        <v>9</v>
      </c>
      <c r="B12" s="10">
        <f>L11</f>
        <v/>
      </c>
      <c r="C12" s="10" t="n">
        <v>12</v>
      </c>
      <c r="D12" s="10">
        <f>IF(B12=0,0,ROUND(B12*Asumsi!$C$22,0))</f>
        <v/>
      </c>
      <c r="E12" s="10">
        <f>B12+C12-D12</f>
        <v/>
      </c>
      <c r="F12" s="11">
        <f>E12*Asumsi!$C$19</f>
        <v/>
      </c>
      <c r="G12" s="11">
        <f>F12</f>
        <v/>
      </c>
      <c r="H12" s="11">
        <f>ROUND(G12*0.14,0)</f>
        <v/>
      </c>
      <c r="I12" s="11" t="n">
        <v>4000000</v>
      </c>
      <c r="J12" s="11" t="n">
        <v>16000000</v>
      </c>
      <c r="K12" s="11">
        <f>H12+I12+J12</f>
        <v/>
      </c>
      <c r="L12" s="11">
        <f>G12-K12</f>
        <v/>
      </c>
      <c r="M12" s="11">
        <f>M11+L12</f>
        <v/>
      </c>
      <c r="N12" s="11">
        <f>IF(C12=0,"-",J12/C12)</f>
        <v/>
      </c>
    </row>
    <row r="13">
      <c r="A13" s="12" t="n">
        <v>10</v>
      </c>
      <c r="B13" s="12">
        <f>L12</f>
        <v/>
      </c>
      <c r="C13" s="12" t="n">
        <v>12</v>
      </c>
      <c r="D13" s="12">
        <f>IF(B13=0,0,ROUND(B13*Asumsi!$C$22,0))</f>
        <v/>
      </c>
      <c r="E13" s="12">
        <f>B13+C13-D13</f>
        <v/>
      </c>
      <c r="F13" s="13">
        <f>E13*Asumsi!$C$19</f>
        <v/>
      </c>
      <c r="G13" s="13">
        <f>F13</f>
        <v/>
      </c>
      <c r="H13" s="13">
        <f>ROUND(G13*0.14,0)</f>
        <v/>
      </c>
      <c r="I13" s="13" t="n">
        <v>4000000</v>
      </c>
      <c r="J13" s="13" t="n">
        <v>16000000</v>
      </c>
      <c r="K13" s="13">
        <f>H13+I13+J13</f>
        <v/>
      </c>
      <c r="L13" s="13">
        <f>G13-K13</f>
        <v/>
      </c>
      <c r="M13" s="13">
        <f>M12+L13</f>
        <v/>
      </c>
      <c r="N13" s="13">
        <f>IF(C13=0,"-",J13/C13)</f>
        <v/>
      </c>
    </row>
    <row r="14">
      <c r="A14" s="10" t="n">
        <v>11</v>
      </c>
      <c r="B14" s="10">
        <f>L13</f>
        <v/>
      </c>
      <c r="C14" s="10" t="n">
        <v>12</v>
      </c>
      <c r="D14" s="10">
        <f>IF(B14=0,0,ROUND(B14*Asumsi!$C$22,0))</f>
        <v/>
      </c>
      <c r="E14" s="10">
        <f>B14+C14-D14</f>
        <v/>
      </c>
      <c r="F14" s="11">
        <f>E14*Asumsi!$C$19</f>
        <v/>
      </c>
      <c r="G14" s="11">
        <f>F14</f>
        <v/>
      </c>
      <c r="H14" s="11">
        <f>ROUND(G14*0.14,0)</f>
        <v/>
      </c>
      <c r="I14" s="11" t="n">
        <v>4000000</v>
      </c>
      <c r="J14" s="11" t="n">
        <v>16000000</v>
      </c>
      <c r="K14" s="11">
        <f>H14+I14+J14</f>
        <v/>
      </c>
      <c r="L14" s="11">
        <f>G14-K14</f>
        <v/>
      </c>
      <c r="M14" s="11">
        <f>M13+L14</f>
        <v/>
      </c>
      <c r="N14" s="11">
        <f>IF(C14=0,"-",J14/C14)</f>
        <v/>
      </c>
    </row>
    <row r="15">
      <c r="A15" s="12" t="n">
        <v>12</v>
      </c>
      <c r="B15" s="12">
        <f>L14</f>
        <v/>
      </c>
      <c r="C15" s="12" t="n">
        <v>12</v>
      </c>
      <c r="D15" s="12">
        <f>IF(B15=0,0,ROUND(B15*Asumsi!$C$22,0))</f>
        <v/>
      </c>
      <c r="E15" s="12">
        <f>B15+C15-D15</f>
        <v/>
      </c>
      <c r="F15" s="13">
        <f>E15*Asumsi!$C$19</f>
        <v/>
      </c>
      <c r="G15" s="13">
        <f>F15</f>
        <v/>
      </c>
      <c r="H15" s="13">
        <f>ROUND(G15*0.14,0)</f>
        <v/>
      </c>
      <c r="I15" s="13" t="n">
        <v>4000000</v>
      </c>
      <c r="J15" s="13" t="n">
        <v>16000000</v>
      </c>
      <c r="K15" s="13">
        <f>H15+I15+J15</f>
        <v/>
      </c>
      <c r="L15" s="13">
        <f>G15-K15</f>
        <v/>
      </c>
      <c r="M15" s="13">
        <f>M14+L15</f>
        <v/>
      </c>
      <c r="N15" s="13">
        <f>IF(C15=0,"-",J15/C15)</f>
        <v/>
      </c>
    </row>
    <row r="17">
      <c r="A17" s="14" t="inlineStr">
        <is>
          <t>Break-even (kumulatif &gt;= 0)</t>
        </is>
      </c>
      <c r="B17" s="15">
        <f>IFERROR(MATCH(TRUE,INDEX(M4:M15&gt;=0,0),0),"-")</f>
        <v/>
      </c>
    </row>
    <row r="18">
      <c r="A18" s="16" t="inlineStr">
        <is>
          <t>Total pelanggan akhir (bulan 12)</t>
        </is>
      </c>
      <c r="B18" s="17">
        <f>E15</f>
        <v/>
      </c>
    </row>
    <row r="19">
      <c r="A19" s="16" t="inlineStr">
        <is>
          <t>Revenue kumulatif 12 bulan</t>
        </is>
      </c>
      <c r="B19" s="18">
        <f>SUM(G4:G15)</f>
        <v/>
      </c>
    </row>
    <row r="20">
      <c r="A20" s="16" t="inlineStr">
        <is>
          <t>Investasi awal (bulan 0)</t>
        </is>
      </c>
      <c r="B20" s="18">
        <f>SUM(Asumsi!C39:C41)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8" t="inlineStr">
        <is>
          <t>PROYEKSI 12 BULAN — OPTIMIS</t>
        </is>
      </c>
    </row>
    <row r="3">
      <c r="A3" s="9" t="inlineStr">
        <is>
          <t>Bulan</t>
        </is>
      </c>
      <c r="B3" s="9" t="inlineStr">
        <is>
          <t>Pelanggan Awal</t>
        </is>
      </c>
      <c r="C3" s="9" t="inlineStr">
        <is>
          <t>Pelanggan Baru</t>
        </is>
      </c>
      <c r="D3" s="9" t="inlineStr">
        <is>
          <t>Churn</t>
        </is>
      </c>
      <c r="E3" s="9" t="inlineStr">
        <is>
          <t>Pelanggan Akhir</t>
        </is>
      </c>
      <c r="F3" s="9" t="inlineStr">
        <is>
          <t>MRR</t>
        </is>
      </c>
      <c r="G3" s="9" t="inlineStr">
        <is>
          <t>Revenue</t>
        </is>
      </c>
      <c r="H3" s="9" t="inlineStr">
        <is>
          <t>AI Cost</t>
        </is>
      </c>
      <c r="I3" s="9" t="inlineStr">
        <is>
          <t>Infra</t>
        </is>
      </c>
      <c r="J3" s="9" t="inlineStr">
        <is>
          <t>Marketing</t>
        </is>
      </c>
      <c r="K3" s="9" t="inlineStr">
        <is>
          <t>Total Opex</t>
        </is>
      </c>
      <c r="L3" s="9" t="inlineStr">
        <is>
          <t>Net Cash Flow</t>
        </is>
      </c>
      <c r="M3" s="9" t="inlineStr">
        <is>
          <t>Kumulatif</t>
        </is>
      </c>
      <c r="N3" s="9" t="inlineStr">
        <is>
          <t>CAC Bulanan</t>
        </is>
      </c>
    </row>
    <row r="4">
      <c r="A4" s="10" t="n">
        <v>1</v>
      </c>
      <c r="B4" s="10" t="n">
        <v>0</v>
      </c>
      <c r="C4" s="10" t="n">
        <v>10</v>
      </c>
      <c r="D4" s="10">
        <f>IF(B4=0,0,ROUND(B4*Asumsi!$C$23,0))</f>
        <v/>
      </c>
      <c r="E4" s="10">
        <f>B4+C4-D4</f>
        <v/>
      </c>
      <c r="F4" s="11">
        <f>E4*Asumsi!$C$20</f>
        <v/>
      </c>
      <c r="G4" s="11">
        <f>F4</f>
        <v/>
      </c>
      <c r="H4" s="11">
        <f>ROUND(G4*0.14,0)</f>
        <v/>
      </c>
      <c r="I4" s="11" t="n">
        <v>2000000</v>
      </c>
      <c r="J4" s="11" t="n">
        <v>3000000</v>
      </c>
      <c r="K4" s="11">
        <f>H4+I4+J4</f>
        <v/>
      </c>
      <c r="L4" s="11">
        <f>G4-K4</f>
        <v/>
      </c>
      <c r="M4" s="11">
        <f>-SUM(Asumsi!$C$39:$C$41)+L4</f>
        <v/>
      </c>
      <c r="N4" s="11">
        <f>IF(C4=0,"-",J4/C4)</f>
        <v/>
      </c>
    </row>
    <row r="5">
      <c r="A5" s="12" t="n">
        <v>2</v>
      </c>
      <c r="B5" s="12">
        <f>L4</f>
        <v/>
      </c>
      <c r="C5" s="12" t="n">
        <v>10</v>
      </c>
      <c r="D5" s="12">
        <f>IF(B5=0,0,ROUND(B5*Asumsi!$C$23,0))</f>
        <v/>
      </c>
      <c r="E5" s="12">
        <f>B5+C5-D5</f>
        <v/>
      </c>
      <c r="F5" s="13">
        <f>E5*Asumsi!$C$20</f>
        <v/>
      </c>
      <c r="G5" s="13">
        <f>F5</f>
        <v/>
      </c>
      <c r="H5" s="13">
        <f>ROUND(G5*0.14,0)</f>
        <v/>
      </c>
      <c r="I5" s="13" t="n">
        <v>2000000</v>
      </c>
      <c r="J5" s="13" t="n">
        <v>3000000</v>
      </c>
      <c r="K5" s="13">
        <f>H5+I5+J5</f>
        <v/>
      </c>
      <c r="L5" s="13">
        <f>G5-K5</f>
        <v/>
      </c>
      <c r="M5" s="13">
        <f>M4+L5</f>
        <v/>
      </c>
      <c r="N5" s="13">
        <f>IF(C5=0,"-",J5/C5)</f>
        <v/>
      </c>
    </row>
    <row r="6">
      <c r="A6" s="10" t="n">
        <v>3</v>
      </c>
      <c r="B6" s="10">
        <f>L5</f>
        <v/>
      </c>
      <c r="C6" s="10" t="n">
        <v>10</v>
      </c>
      <c r="D6" s="10">
        <f>IF(B6=0,0,ROUND(B6*Asumsi!$C$23,0))</f>
        <v/>
      </c>
      <c r="E6" s="10">
        <f>B6+C6-D6</f>
        <v/>
      </c>
      <c r="F6" s="11">
        <f>E6*Asumsi!$C$20</f>
        <v/>
      </c>
      <c r="G6" s="11">
        <f>F6</f>
        <v/>
      </c>
      <c r="H6" s="11">
        <f>ROUND(G6*0.14,0)</f>
        <v/>
      </c>
      <c r="I6" s="11" t="n">
        <v>2000000</v>
      </c>
      <c r="J6" s="11" t="n">
        <v>3000000</v>
      </c>
      <c r="K6" s="11">
        <f>H6+I6+J6</f>
        <v/>
      </c>
      <c r="L6" s="11">
        <f>G6-K6</f>
        <v/>
      </c>
      <c r="M6" s="11">
        <f>M5+L6</f>
        <v/>
      </c>
      <c r="N6" s="11">
        <f>IF(C6=0,"-",J6/C6)</f>
        <v/>
      </c>
    </row>
    <row r="7">
      <c r="A7" s="12" t="n">
        <v>4</v>
      </c>
      <c r="B7" s="12">
        <f>L6</f>
        <v/>
      </c>
      <c r="C7" s="12" t="n">
        <v>10</v>
      </c>
      <c r="D7" s="12">
        <f>IF(B7=0,0,ROUND(B7*Asumsi!$C$23,0))</f>
        <v/>
      </c>
      <c r="E7" s="12">
        <f>B7+C7-D7</f>
        <v/>
      </c>
      <c r="F7" s="13">
        <f>E7*Asumsi!$C$20</f>
        <v/>
      </c>
      <c r="G7" s="13">
        <f>F7</f>
        <v/>
      </c>
      <c r="H7" s="13">
        <f>ROUND(G7*0.14,0)</f>
        <v/>
      </c>
      <c r="I7" s="13" t="n">
        <v>2000000</v>
      </c>
      <c r="J7" s="13" t="n">
        <v>15000000</v>
      </c>
      <c r="K7" s="13">
        <f>H7+I7+J7</f>
        <v/>
      </c>
      <c r="L7" s="13">
        <f>G7-K7</f>
        <v/>
      </c>
      <c r="M7" s="13">
        <f>M6+L7</f>
        <v/>
      </c>
      <c r="N7" s="13">
        <f>IF(C7=0,"-",J7/C7)</f>
        <v/>
      </c>
    </row>
    <row r="8">
      <c r="A8" s="10" t="n">
        <v>5</v>
      </c>
      <c r="B8" s="10">
        <f>L7</f>
        <v/>
      </c>
      <c r="C8" s="10" t="n">
        <v>18</v>
      </c>
      <c r="D8" s="10">
        <f>IF(B8=0,0,ROUND(B8*Asumsi!$C$23,0))</f>
        <v/>
      </c>
      <c r="E8" s="10">
        <f>B8+C8-D8</f>
        <v/>
      </c>
      <c r="F8" s="11">
        <f>E8*Asumsi!$C$20</f>
        <v/>
      </c>
      <c r="G8" s="11">
        <f>F8</f>
        <v/>
      </c>
      <c r="H8" s="11">
        <f>ROUND(G8*0.14,0)</f>
        <v/>
      </c>
      <c r="I8" s="11" t="n">
        <v>2000000</v>
      </c>
      <c r="J8" s="11" t="n">
        <v>15000000</v>
      </c>
      <c r="K8" s="11">
        <f>H8+I8+J8</f>
        <v/>
      </c>
      <c r="L8" s="11">
        <f>G8-K8</f>
        <v/>
      </c>
      <c r="M8" s="11">
        <f>M7+L8</f>
        <v/>
      </c>
      <c r="N8" s="11">
        <f>IF(C8=0,"-",J8/C8)</f>
        <v/>
      </c>
    </row>
    <row r="9">
      <c r="A9" s="12" t="n">
        <v>6</v>
      </c>
      <c r="B9" s="12">
        <f>L8</f>
        <v/>
      </c>
      <c r="C9" s="12" t="n">
        <v>18</v>
      </c>
      <c r="D9" s="12">
        <f>IF(B9=0,0,ROUND(B9*Asumsi!$C$23,0))</f>
        <v/>
      </c>
      <c r="E9" s="12">
        <f>B9+C9-D9</f>
        <v/>
      </c>
      <c r="F9" s="13">
        <f>E9*Asumsi!$C$20</f>
        <v/>
      </c>
      <c r="G9" s="13">
        <f>F9</f>
        <v/>
      </c>
      <c r="H9" s="13">
        <f>ROUND(G9*0.14,0)</f>
        <v/>
      </c>
      <c r="I9" s="13" t="n">
        <v>2000000</v>
      </c>
      <c r="J9" s="13" t="n">
        <v>15000000</v>
      </c>
      <c r="K9" s="13">
        <f>H9+I9+J9</f>
        <v/>
      </c>
      <c r="L9" s="13">
        <f>G9-K9</f>
        <v/>
      </c>
      <c r="M9" s="13">
        <f>M8+L9</f>
        <v/>
      </c>
      <c r="N9" s="13">
        <f>IF(C9=0,"-",J9/C9)</f>
        <v/>
      </c>
    </row>
    <row r="10">
      <c r="A10" s="10" t="n">
        <v>7</v>
      </c>
      <c r="B10" s="10">
        <f>L9</f>
        <v/>
      </c>
      <c r="C10" s="10" t="n">
        <v>18</v>
      </c>
      <c r="D10" s="10">
        <f>IF(B10=0,0,ROUND(B10*Asumsi!$C$23,0))</f>
        <v/>
      </c>
      <c r="E10" s="10">
        <f>B10+C10-D10</f>
        <v/>
      </c>
      <c r="F10" s="11">
        <f>E10*Asumsi!$C$20</f>
        <v/>
      </c>
      <c r="G10" s="11">
        <f>F10</f>
        <v/>
      </c>
      <c r="H10" s="11">
        <f>ROUND(G10*0.14,0)</f>
        <v/>
      </c>
      <c r="I10" s="11" t="n">
        <v>4000000</v>
      </c>
      <c r="J10" s="11" t="n">
        <v>25000000</v>
      </c>
      <c r="K10" s="11">
        <f>H10+I10+J10</f>
        <v/>
      </c>
      <c r="L10" s="11">
        <f>G10-K10</f>
        <v/>
      </c>
      <c r="M10" s="11">
        <f>M9+L10</f>
        <v/>
      </c>
      <c r="N10" s="11">
        <f>IF(C10=0,"-",J10/C10)</f>
        <v/>
      </c>
    </row>
    <row r="11">
      <c r="A11" s="12" t="n">
        <v>8</v>
      </c>
      <c r="B11" s="12">
        <f>L10</f>
        <v/>
      </c>
      <c r="C11" s="12" t="n">
        <v>18</v>
      </c>
      <c r="D11" s="12">
        <f>IF(B11=0,0,ROUND(B11*Asumsi!$C$23,0))</f>
        <v/>
      </c>
      <c r="E11" s="12">
        <f>B11+C11-D11</f>
        <v/>
      </c>
      <c r="F11" s="13">
        <f>E11*Asumsi!$C$20</f>
        <v/>
      </c>
      <c r="G11" s="13">
        <f>F11</f>
        <v/>
      </c>
      <c r="H11" s="13">
        <f>ROUND(G11*0.14,0)</f>
        <v/>
      </c>
      <c r="I11" s="13" t="n">
        <v>4000000</v>
      </c>
      <c r="J11" s="13" t="n">
        <v>25000000</v>
      </c>
      <c r="K11" s="13">
        <f>H11+I11+J11</f>
        <v/>
      </c>
      <c r="L11" s="13">
        <f>G11-K11</f>
        <v/>
      </c>
      <c r="M11" s="13">
        <f>M10+L11</f>
        <v/>
      </c>
      <c r="N11" s="13">
        <f>IF(C11=0,"-",J11/C11)</f>
        <v/>
      </c>
    </row>
    <row r="12">
      <c r="A12" s="10" t="n">
        <v>9</v>
      </c>
      <c r="B12" s="10">
        <f>L11</f>
        <v/>
      </c>
      <c r="C12" s="10" t="n">
        <v>25</v>
      </c>
      <c r="D12" s="10">
        <f>IF(B12=0,0,ROUND(B12*Asumsi!$C$23,0))</f>
        <v/>
      </c>
      <c r="E12" s="10">
        <f>B12+C12-D12</f>
        <v/>
      </c>
      <c r="F12" s="11">
        <f>E12*Asumsi!$C$20</f>
        <v/>
      </c>
      <c r="G12" s="11">
        <f>F12</f>
        <v/>
      </c>
      <c r="H12" s="11">
        <f>ROUND(G12*0.14,0)</f>
        <v/>
      </c>
      <c r="I12" s="11" t="n">
        <v>4000000</v>
      </c>
      <c r="J12" s="11" t="n">
        <v>25000000</v>
      </c>
      <c r="K12" s="11">
        <f>H12+I12+J12</f>
        <v/>
      </c>
      <c r="L12" s="11">
        <f>G12-K12</f>
        <v/>
      </c>
      <c r="M12" s="11">
        <f>M11+L12</f>
        <v/>
      </c>
      <c r="N12" s="11">
        <f>IF(C12=0,"-",J12/C12)</f>
        <v/>
      </c>
    </row>
    <row r="13">
      <c r="A13" s="12" t="n">
        <v>10</v>
      </c>
      <c r="B13" s="12">
        <f>L12</f>
        <v/>
      </c>
      <c r="C13" s="12" t="n">
        <v>25</v>
      </c>
      <c r="D13" s="12">
        <f>IF(B13=0,0,ROUND(B13*Asumsi!$C$23,0))</f>
        <v/>
      </c>
      <c r="E13" s="12">
        <f>B13+C13-D13</f>
        <v/>
      </c>
      <c r="F13" s="13">
        <f>E13*Asumsi!$C$20</f>
        <v/>
      </c>
      <c r="G13" s="13">
        <f>F13</f>
        <v/>
      </c>
      <c r="H13" s="13">
        <f>ROUND(G13*0.14,0)</f>
        <v/>
      </c>
      <c r="I13" s="13" t="n">
        <v>4000000</v>
      </c>
      <c r="J13" s="13" t="n">
        <v>25000000</v>
      </c>
      <c r="K13" s="13">
        <f>H13+I13+J13</f>
        <v/>
      </c>
      <c r="L13" s="13">
        <f>G13-K13</f>
        <v/>
      </c>
      <c r="M13" s="13">
        <f>M12+L13</f>
        <v/>
      </c>
      <c r="N13" s="13">
        <f>IF(C13=0,"-",J13/C13)</f>
        <v/>
      </c>
    </row>
    <row r="14">
      <c r="A14" s="10" t="n">
        <v>11</v>
      </c>
      <c r="B14" s="10">
        <f>L13</f>
        <v/>
      </c>
      <c r="C14" s="10" t="n">
        <v>25</v>
      </c>
      <c r="D14" s="10">
        <f>IF(B14=0,0,ROUND(B14*Asumsi!$C$23,0))</f>
        <v/>
      </c>
      <c r="E14" s="10">
        <f>B14+C14-D14</f>
        <v/>
      </c>
      <c r="F14" s="11">
        <f>E14*Asumsi!$C$20</f>
        <v/>
      </c>
      <c r="G14" s="11">
        <f>F14</f>
        <v/>
      </c>
      <c r="H14" s="11">
        <f>ROUND(G14*0.14,0)</f>
        <v/>
      </c>
      <c r="I14" s="11" t="n">
        <v>4000000</v>
      </c>
      <c r="J14" s="11" t="n">
        <v>25000000</v>
      </c>
      <c r="K14" s="11">
        <f>H14+I14+J14</f>
        <v/>
      </c>
      <c r="L14" s="11">
        <f>G14-K14</f>
        <v/>
      </c>
      <c r="M14" s="11">
        <f>M13+L14</f>
        <v/>
      </c>
      <c r="N14" s="11">
        <f>IF(C14=0,"-",J14/C14)</f>
        <v/>
      </c>
    </row>
    <row r="15">
      <c r="A15" s="12" t="n">
        <v>12</v>
      </c>
      <c r="B15" s="12">
        <f>L14</f>
        <v/>
      </c>
      <c r="C15" s="12" t="n">
        <v>25</v>
      </c>
      <c r="D15" s="12">
        <f>IF(B15=0,0,ROUND(B15*Asumsi!$C$23,0))</f>
        <v/>
      </c>
      <c r="E15" s="12">
        <f>B15+C15-D15</f>
        <v/>
      </c>
      <c r="F15" s="13">
        <f>E15*Asumsi!$C$20</f>
        <v/>
      </c>
      <c r="G15" s="13">
        <f>F15</f>
        <v/>
      </c>
      <c r="H15" s="13">
        <f>ROUND(G15*0.14,0)</f>
        <v/>
      </c>
      <c r="I15" s="13" t="n">
        <v>4000000</v>
      </c>
      <c r="J15" s="13" t="n">
        <v>25000000</v>
      </c>
      <c r="K15" s="13">
        <f>H15+I15+J15</f>
        <v/>
      </c>
      <c r="L15" s="13">
        <f>G15-K15</f>
        <v/>
      </c>
      <c r="M15" s="13">
        <f>M14+L15</f>
        <v/>
      </c>
      <c r="N15" s="13">
        <f>IF(C15=0,"-",J15/C15)</f>
        <v/>
      </c>
    </row>
    <row r="17">
      <c r="A17" s="14" t="inlineStr">
        <is>
          <t>Break-even (kumulatif &gt;= 0)</t>
        </is>
      </c>
      <c r="B17" s="15">
        <f>IFERROR(MATCH(TRUE,INDEX(M4:M15&gt;=0,0),0),"-")</f>
        <v/>
      </c>
    </row>
    <row r="18">
      <c r="A18" s="16" t="inlineStr">
        <is>
          <t>Total pelanggan akhir (bulan 12)</t>
        </is>
      </c>
      <c r="B18" s="17">
        <f>E15</f>
        <v/>
      </c>
    </row>
    <row r="19">
      <c r="A19" s="16" t="inlineStr">
        <is>
          <t>Revenue kumulatif 12 bulan</t>
        </is>
      </c>
      <c r="B19" s="18">
        <f>SUM(G4:G15)</f>
        <v/>
      </c>
    </row>
    <row r="20">
      <c r="A20" s="16" t="inlineStr">
        <is>
          <t>Investasi awal (bulan 0)</t>
        </is>
      </c>
      <c r="B20" s="18">
        <f>SUM(Asumsi!C39:C41)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8" t="inlineStr">
        <is>
          <t>UNIT ECONOMICS (SKENARIO MODERAT)</t>
        </is>
      </c>
    </row>
    <row r="3">
      <c r="A3" s="9" t="inlineStr">
        <is>
          <t>Metrik</t>
        </is>
      </c>
      <c r="B3" s="9" t="inlineStr">
        <is>
          <t>Nilai</t>
        </is>
      </c>
      <c r="C3" s="9" t="inlineStr">
        <is>
          <t>Benchmark</t>
        </is>
      </c>
    </row>
    <row r="4">
      <c r="A4" s="4" t="inlineStr">
        <is>
          <t>ARPU (Rp/bulan)</t>
        </is>
      </c>
      <c r="B4" s="19">
        <f>Asumsi!$C$19</f>
        <v/>
      </c>
    </row>
    <row r="5">
      <c r="A5" s="4" t="inlineStr">
        <is>
          <t>Churn bulanan</t>
        </is>
      </c>
      <c r="B5" s="20">
        <f>Asumsi!$C$22</f>
        <v/>
      </c>
      <c r="C5" s="2" t="inlineStr">
        <is>
          <t>Rp 600-800rb</t>
        </is>
      </c>
    </row>
    <row r="6">
      <c r="A6" s="4" t="inlineStr">
        <is>
          <t>Gross margin (1 - AI cost %)</t>
        </is>
      </c>
      <c r="B6" s="20">
        <f>1-Asumsi!$C$15/(Asumsi!$C$8/Asumsi!$C$7)</f>
        <v/>
      </c>
      <c r="C6" s="2" t="inlineStr">
        <is>
          <t>3-6%</t>
        </is>
      </c>
    </row>
    <row r="7">
      <c r="A7" s="4" t="inlineStr">
        <is>
          <t>CAC (Rp, rata-rata)</t>
        </is>
      </c>
      <c r="B7" s="19">
        <f>IFERROR(AVERAGE(Moderat!N4:N15),0)</f>
        <v/>
      </c>
      <c r="C7" s="2" t="inlineStr">
        <is>
          <t>70-85%</t>
        </is>
      </c>
    </row>
    <row r="8">
      <c r="A8" s="4" t="inlineStr">
        <is>
          <t>LTV (Rp)</t>
        </is>
      </c>
      <c r="B8" s="19">
        <f>IFERROR(B4*B6/B5,0)</f>
        <v/>
      </c>
      <c r="C8" s="2" t="inlineStr">
        <is>
          <t>Rp 400-800rb</t>
        </is>
      </c>
    </row>
    <row r="9">
      <c r="A9" s="4" t="inlineStr">
        <is>
          <t>LTV : CAC</t>
        </is>
      </c>
      <c r="B9" s="14">
        <f>IFERROR(B8/B7,0)&amp;"x"</f>
        <v/>
      </c>
      <c r="C9" s="2" t="inlineStr">
        <is>
          <t>Rp 10-15 jt</t>
        </is>
      </c>
    </row>
    <row r="10">
      <c r="A10" s="4" t="inlineStr">
        <is>
          <t>Payback (bulan)</t>
        </is>
      </c>
      <c r="B10" s="21">
        <f>IFERROR(B7/(B4*B6),0)</f>
        <v/>
      </c>
      <c r="C10" s="2" t="inlineStr">
        <is>
          <t>&gt; 3x</t>
        </is>
      </c>
    </row>
    <row r="11">
      <c r="A11" s="4" t="inlineStr">
        <is>
          <t>MRR bulan 12</t>
        </is>
      </c>
      <c r="B11" s="19">
        <f>Moderat!F15</f>
        <v/>
      </c>
      <c r="C11" s="2" t="inlineStr">
        <is>
          <t>1-3 bln</t>
        </is>
      </c>
    </row>
    <row r="12">
      <c r="A12" s="4" t="inlineStr">
        <is>
          <t>Revenue kumulatif 12 bln</t>
        </is>
      </c>
      <c r="B12" s="19">
        <f>Moderat!G16</f>
        <v/>
      </c>
    </row>
    <row r="15">
      <c r="A1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2" t="inlineStr">
        <is>
          <t>RINGKASAN ANALISA BISNIS — PRAKTIS</t>
        </is>
      </c>
    </row>
    <row r="2">
      <c r="A2" s="2" t="inlineStr">
        <is>
          <t>AI Bookkeeping: PDF/foto/Excel/CSV → draft jurnal + laporan keuangan · Agustus 2026</t>
        </is>
      </c>
    </row>
    <row r="4">
      <c r="A4" s="9" t="inlineStr">
        <is>
          <t>Metrik Kunci</t>
        </is>
      </c>
      <c r="B4" s="9" t="inlineStr">
        <is>
          <t>Konservatif</t>
        </is>
      </c>
      <c r="C4" s="9" t="inlineStr">
        <is>
          <t>Moderat</t>
        </is>
      </c>
      <c r="D4" s="9" t="inlineStr">
        <is>
          <t>Optimis</t>
        </is>
      </c>
    </row>
    <row r="5">
      <c r="A5" s="23" t="inlineStr">
        <is>
          <t>Investasi awal (Rp)</t>
        </is>
      </c>
      <c r="B5" s="24">
        <f>SUM(Asumsi!C39:C41)</f>
        <v/>
      </c>
      <c r="C5" s="24">
        <f>SUM(Asumsi!C39:C41)</f>
        <v/>
      </c>
      <c r="D5" s="24">
        <f>SUM(Asumsi!C39:C41)</f>
        <v/>
      </c>
    </row>
    <row r="6">
      <c r="A6" s="4" t="inlineStr">
        <is>
          <t>Pelanggan akhir (bln 12)</t>
        </is>
      </c>
      <c r="B6" s="25">
        <f>Konservatif!E15</f>
        <v/>
      </c>
      <c r="C6" s="25">
        <f>Moderat!E15</f>
        <v/>
      </c>
      <c r="D6" s="25">
        <f>Optimis!E15</f>
        <v/>
      </c>
    </row>
    <row r="7">
      <c r="A7" s="23" t="inlineStr">
        <is>
          <t>MRR bulan 12 (Rp)</t>
        </is>
      </c>
      <c r="B7" s="24">
        <f>Konservatif!F15</f>
        <v/>
      </c>
      <c r="C7" s="24">
        <f>Moderat!F15</f>
        <v/>
      </c>
      <c r="D7" s="24">
        <f>Optimis!F15</f>
        <v/>
      </c>
    </row>
    <row r="8">
      <c r="A8" s="4" t="inlineStr">
        <is>
          <t>Revenue kumulatif 12 bln</t>
        </is>
      </c>
      <c r="B8" s="19">
        <f>Konservatif!G16</f>
        <v/>
      </c>
      <c r="C8" s="19">
        <f>Moderat!G16</f>
        <v/>
      </c>
      <c r="D8" s="19">
        <f>Optimis!G16</f>
        <v/>
      </c>
    </row>
    <row r="9">
      <c r="A9" s="23" t="inlineStr">
        <is>
          <t>Net cash kumulatif (bln 12)</t>
        </is>
      </c>
      <c r="B9" s="24">
        <f>Konservatif!M15</f>
        <v/>
      </c>
      <c r="C9" s="24">
        <f>Moderat!M15</f>
        <v/>
      </c>
      <c r="D9" s="24">
        <f>Optimis!M15</f>
        <v/>
      </c>
    </row>
    <row r="10">
      <c r="A10" s="4" t="inlineStr">
        <is>
          <t>Break-even (bulan ke-)</t>
        </is>
      </c>
      <c r="B10" s="25">
        <f>Konservatif!B17</f>
        <v/>
      </c>
      <c r="C10" s="25">
        <f>Moderat!B17</f>
        <v/>
      </c>
      <c r="D10" s="25">
        <f>Optimis!B17</f>
        <v/>
      </c>
    </row>
    <row r="11">
      <c r="A11" s="23" t="inlineStr">
        <is>
          <t>CAC rata-rata (Rp)</t>
        </is>
      </c>
      <c r="B11" s="24">
        <f>IFERROR(AVERAGE(Konservatif!N4:N15),0)</f>
        <v/>
      </c>
      <c r="C11" s="24">
        <f>IFERROR(AVERAGE(Moderat!N4:N15),0)</f>
        <v/>
      </c>
      <c r="D11" s="24">
        <f>IFERROR(AVERAGE(Optimis!N4:N15),0)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22" customWidth="1" min="4" max="4"/>
    <col width="18" customWidth="1" min="5" max="5"/>
    <col width="18" customWidth="1" min="6" max="6"/>
    <col width="26" customWidth="1" min="7" max="7"/>
  </cols>
  <sheetData>
    <row r="1">
      <c r="A1" s="8" t="inlineStr">
        <is>
          <t>RENCANA PEMASARAN 12 BULAN (SKENARIO MODERAT)</t>
        </is>
      </c>
    </row>
    <row r="3">
      <c r="A3" s="9" t="inlineStr">
        <is>
          <t>Fase</t>
        </is>
      </c>
      <c r="B3" s="9" t="inlineStr">
        <is>
          <t>Bulan</t>
        </is>
      </c>
      <c r="C3" s="9" t="inlineStr">
        <is>
          <t>Aktivitas</t>
        </is>
      </c>
      <c r="D3" s="9" t="inlineStr">
        <is>
          <t>Budget</t>
        </is>
      </c>
      <c r="E3" s="9" t="inlineStr">
        <is>
          <t>Target Pelanggan</t>
        </is>
      </c>
      <c r="F3" s="9" t="inlineStr">
        <is>
          <t>CAC Harapan</t>
        </is>
      </c>
      <c r="G3" s="9" t="inlineStr">
        <is>
          <t>Catatan</t>
        </is>
      </c>
    </row>
    <row r="4">
      <c r="A4" t="inlineStr">
        <is>
          <t>Fase 1</t>
        </is>
      </c>
      <c r="B4" t="inlineStr">
        <is>
          <t>1-3</t>
        </is>
      </c>
      <c r="C4" t="inlineStr">
        <is>
          <t>Konten edukasi (LinkedIn, blog), SEO tutorial rekening koran, komunitas akuntan/KAP, cold outreach 200 target</t>
        </is>
      </c>
      <c r="D4" s="18" t="n">
        <v>6000000</v>
      </c>
      <c r="E4" t="inlineStr">
        <is>
          <t>10-15</t>
        </is>
      </c>
      <c r="F4" t="inlineStr">
        <is>
          <t>Rp 400-500rb</t>
        </is>
      </c>
      <c r="G4" t="inlineStr">
        <is>
          <t>Validasi product-market fit, CAC rendah</t>
        </is>
      </c>
    </row>
    <row r="5">
      <c r="A5" t="inlineStr">
        <is>
          <t>Fase 2</t>
        </is>
      </c>
      <c r="B5" t="inlineStr">
        <is>
          <t>4-6</t>
        </is>
      </c>
      <c r="C5" t="inlineStr">
        <is>
          <t>Google Ads (keyword: rekening koran ke excel/jurnal), Meta Ads retargeting, referral program, webinar bulanan</t>
        </is>
      </c>
      <c r="D5" s="18" t="n">
        <v>30000000</v>
      </c>
      <c r="E5" t="inlineStr">
        <is>
          <t>20</t>
        </is>
      </c>
      <c r="F5" t="inlineStr">
        <is>
          <t>Rp 600-700rb</t>
        </is>
      </c>
      <c r="G5" t="inlineStr">
        <is>
          <t>Scale kanal berbayar</t>
        </is>
      </c>
    </row>
    <row r="6">
      <c r="A6" t="inlineStr">
        <is>
          <t>Fase 3</t>
        </is>
      </c>
      <c r="B6" t="inlineStr">
        <is>
          <t>7-12</t>
        </is>
      </c>
      <c r="C6" t="inlineStr">
        <is>
          <t>Google + Meta + YouTube, partnership KAP/komunitas/kampus, 1 sales AE</t>
        </is>
      </c>
      <c r="D6" s="18" t="n">
        <v>96000000</v>
      </c>
      <c r="E6" t="inlineStr">
        <is>
          <t>50+</t>
        </is>
      </c>
      <c r="F6" t="inlineStr">
        <is>
          <t>Rp 700-800rb</t>
        </is>
      </c>
      <c r="G6" t="inlineStr">
        <is>
          <t>Sales-assisted untuk enterprise</t>
        </is>
      </c>
    </row>
    <row r="7">
      <c r="B7" s="14" t="inlineStr">
        <is>
          <t>TOTAL</t>
        </is>
      </c>
      <c r="D7" s="19">
        <f>SUM(D4:D6)</f>
        <v/>
      </c>
      <c r="E7" t="inlineStr">
        <is>
          <t>80-85</t>
        </is>
      </c>
      <c r="G7" s="2" t="inlineStr">
        <is>
          <t>≈ Rp 132 jt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2026-08-13T18:45:49Z</dcterms:created>
  <dcterms:modified xsi:type="dcterms:W3CDTF">2026-08-13T18:45:49Z</dcterms:modified>
</cp:coreProperties>
</file>